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" activeTab="6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HR_Data" sheetId="1" r:id="rId7"/>
    <sheet name="Dashboard" sheetId="9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<sst xmlns="http://schemas.openxmlformats.org/spreadsheetml/2006/main" count="164" uniqueCount="78">
  <si>
    <t>Department</t>
  </si>
  <si>
    <t>Average of Attendance Percentage</t>
  </si>
  <si>
    <t>Finance</t>
  </si>
  <si>
    <t>HR</t>
  </si>
  <si>
    <t>IT</t>
  </si>
  <si>
    <t>Marketing</t>
  </si>
  <si>
    <t>Sales</t>
  </si>
  <si>
    <t>Grand Total</t>
  </si>
  <si>
    <t>Designation</t>
  </si>
  <si>
    <t>Developer</t>
  </si>
  <si>
    <t>Executive</t>
  </si>
  <si>
    <t>Manager</t>
  </si>
  <si>
    <t>Performance Category</t>
  </si>
  <si>
    <t>Count of Employee ID</t>
  </si>
  <si>
    <t>Average</t>
  </si>
  <si>
    <t>Excellent</t>
  </si>
  <si>
    <t>Good</t>
  </si>
  <si>
    <t>Sum of Late Arrivals</t>
  </si>
  <si>
    <t>Sum of Days Absent</t>
  </si>
  <si>
    <t>Name</t>
  </si>
  <si>
    <t>Rohan</t>
  </si>
  <si>
    <t>Arjun</t>
  </si>
  <si>
    <t>Vikas</t>
  </si>
  <si>
    <t>Priya</t>
  </si>
  <si>
    <t>Ankit</t>
  </si>
  <si>
    <t>Employee ID</t>
  </si>
  <si>
    <t>Days Present</t>
  </si>
  <si>
    <t>Total Days</t>
  </si>
  <si>
    <t>Days Absent</t>
  </si>
  <si>
    <t>Late Arrivals</t>
  </si>
  <si>
    <t>Attendance Percentage</t>
  </si>
  <si>
    <t>Punctuality Score</t>
  </si>
  <si>
    <t>Month</t>
  </si>
  <si>
    <t>E001</t>
  </si>
  <si>
    <t>Rajesh</t>
  </si>
  <si>
    <t>Jan</t>
  </si>
  <si>
    <t>E002</t>
  </si>
  <si>
    <t>jan</t>
  </si>
  <si>
    <t>E003</t>
  </si>
  <si>
    <t>Amit</t>
  </si>
  <si>
    <t>E004</t>
  </si>
  <si>
    <t>Neha</t>
  </si>
  <si>
    <t>E005</t>
  </si>
  <si>
    <t>Vikram</t>
  </si>
  <si>
    <t>E006</t>
  </si>
  <si>
    <t>Deepa</t>
  </si>
  <si>
    <t>E007</t>
  </si>
  <si>
    <t>E008</t>
  </si>
  <si>
    <t>Sneha</t>
  </si>
  <si>
    <t>E009</t>
  </si>
  <si>
    <t>E010</t>
  </si>
  <si>
    <t>Pooja</t>
  </si>
  <si>
    <t>E011</t>
  </si>
  <si>
    <t>Karthik</t>
  </si>
  <si>
    <t>E012</t>
  </si>
  <si>
    <t>Divya</t>
  </si>
  <si>
    <t>E013</t>
  </si>
  <si>
    <t>Sunil</t>
  </si>
  <si>
    <t>E014</t>
  </si>
  <si>
    <t>Anjali</t>
  </si>
  <si>
    <t>E015</t>
  </si>
  <si>
    <t>E016</t>
  </si>
  <si>
    <t>Meera</t>
  </si>
  <si>
    <t>E017</t>
  </si>
  <si>
    <t>E018</t>
  </si>
  <si>
    <t>Farhan</t>
  </si>
  <si>
    <t>E019</t>
  </si>
  <si>
    <t>Geeta</t>
  </si>
  <si>
    <t>E020</t>
  </si>
  <si>
    <t>Lakshmi</t>
  </si>
  <si>
    <t>OVERALL ATTENDANCE</t>
  </si>
  <si>
    <t>EXCELLENT EMPLOYEES</t>
  </si>
  <si>
    <t>GOOD EMPLOYEES</t>
  </si>
  <si>
    <t>AVERAGE EMPLOYEES</t>
  </si>
  <si>
    <t>POOR EMPLOYEES</t>
  </si>
  <si>
    <t>TOTAL LATE ARRIVALS</t>
  </si>
  <si>
    <t>TOTAL ABSENT DAYS</t>
  </si>
  <si>
    <t>AVERAGE PUNCTUALITY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</si>
</sst>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font>
        <sz val="12"/>
      </font>
    </dxf>
    <dxf>
      <numFmt numFmtId="10" formatCode="0.00%"/>
    </dxf>
    <dxf>
      <numFmt numFmtId="10" formatCode="0.00%"/>
    </dxf>
    <dxf>
      <numFmt numFmtId="10" formatCode="0.00%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sz val="12"/>
      </font>
    </dxf>
    <dxf>
      <numFmt numFmtId="10" formatCode="0.00%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sz val="12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sz val="12"/>
      </font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sz val="12"/>
      </font>
    </dxf>
    <dxf>
      <alignment horizontal="center"/>
    </dxf>
    <dxf>
      <alignment horizontal="center"/>
    </dxf>
    <dxf>
      <font>
        <sz val="12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 xr9:uid="{267968C8-6FFD-4C36-ACC1-9EA1FD1885CA}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[HR_Analysis_.xlsx]Sheet2!PivotTable1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Attendance Percentage by Department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0.00%</c:formatCode>
                <c:ptCount val="5"/>
                <c:pt idx="0">
                  <c:v>0.9375</c:v>
                </c:pt>
                <c:pt idx="1">
                  <c:v>0.8125</c:v>
                </c:pt>
                <c:pt idx="2">
                  <c:v>0.958333333333333</c:v>
                </c:pt>
                <c:pt idx="3">
                  <c:v>0.861111111111111</c:v>
                </c:pt>
                <c:pt idx="4">
                  <c:v>0.791666666666667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30666614"/>
        <c:axId val="59433182"/>
      </c:barChart>
      <c:catAx>
        <c:axId val="3306666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33182"/>
        <c:crosses val="autoZero"/>
        <c:auto val="1"/>
        <c:lblAlgn val="ctr"/>
        <c:lblOffset val="100"/>
        <c:noMultiLvlLbl val="0"/>
      </c:catAx>
      <c:valAx>
        <c:axId val="594331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6666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[HR_Analysis_.xlsx]Sheet3!PivotTable2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Employee Performance Distribution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Developer</c:v>
                </c:pt>
                <c:pt idx="1">
                  <c:v>Executive</c:v>
                </c:pt>
                <c:pt idx="2">
                  <c:v>Manager</c:v>
                </c:pt>
              </c:strCache>
            </c:strRef>
          </c:cat>
          <c:val>
            <c:numRef>
              <c:f>Sheet3!$B$4:$B$7</c:f>
              <c:numCache>
                <c:formatCode>0.00%</c:formatCode>
                <c:ptCount val="3"/>
                <c:pt idx="0">
                  <c:v>0.96875</c:v>
                </c:pt>
                <c:pt idx="1">
                  <c:v>0.856060606060606</c:v>
                </c:pt>
                <c:pt idx="2">
                  <c:v>0.85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90908340"/>
        <c:axId val="284368868"/>
      </c:barChart>
      <c:catAx>
        <c:axId val="6909083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368868"/>
        <c:crosses val="autoZero"/>
        <c:auto val="1"/>
        <c:lblAlgn val="ctr"/>
        <c:lblOffset val="100"/>
        <c:noMultiLvlLbl val="0"/>
      </c:catAx>
      <c:valAx>
        <c:axId val="2843688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9083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[HR_Analysis_.xlsx]Sheet5!PivotTable4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Absent Days by Department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</c:v>
                </c:pt>
                <c:pt idx="1">
                  <c:v>14</c:v>
                </c:pt>
                <c:pt idx="2">
                  <c:v>2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/>
              <a:t>Absent Days by Department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03797143"/>
        <c:axId val="66901935"/>
      </c:barChart>
      <c:catAx>
        <c:axId val="603797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6901935"/>
        <c:crosses val="autoZero"/>
        <c:auto val="1"/>
        <c:lblAlgn val="ctr"/>
        <c:lblOffset val="100"/>
        <c:noMultiLvlLbl val="0"/>
      </c:catAx>
      <c:valAx>
        <c:axId val="6690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03797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[HR_Analysis_.xlsx]Sheet7!PivotTable6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Top 5 Employees by Attendance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Sheet7!$A$4:$A$9</c:f>
              <c:strCache>
                <c:ptCount val="5"/>
                <c:pt idx="0">
                  <c:v>Rohan</c:v>
                </c:pt>
                <c:pt idx="1">
                  <c:v>Arjun</c:v>
                </c:pt>
                <c:pt idx="2">
                  <c:v>Vikas</c:v>
                </c:pt>
                <c:pt idx="3">
                  <c:v>Priya</c:v>
                </c:pt>
                <c:pt idx="4">
                  <c:v>Ankit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0.958333333333333</c:v>
                </c:pt>
                <c:pt idx="3">
                  <c:v>0.958333333333333</c:v>
                </c:pt>
                <c:pt idx="4">
                  <c:v>0.958333333333333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97562685"/>
        <c:axId val="736874139"/>
      </c:barChart>
      <c:catAx>
        <c:axId val="7975626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874139"/>
        <c:crosses val="autoZero"/>
        <c:auto val="1"/>
        <c:lblAlgn val="ctr"/>
        <c:lblOffset val="100"/>
        <c:noMultiLvlLbl val="0"/>
      </c:catAx>
      <c:valAx>
        <c:axId val="7368741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5626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Attendance Percentage by Department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0.00%</c:formatCode>
                <c:ptCount val="5"/>
                <c:pt idx="0">
                  <c:v>0.9375</c:v>
                </c:pt>
                <c:pt idx="1">
                  <c:v>0.8125</c:v>
                </c:pt>
                <c:pt idx="2">
                  <c:v>0.958333333333333</c:v>
                </c:pt>
                <c:pt idx="3">
                  <c:v>0.861111111111111</c:v>
                </c:pt>
                <c:pt idx="4">
                  <c:v>0.791666666666667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30666614"/>
        <c:axId val="59433182"/>
      </c:barChart>
      <c:catAx>
        <c:axId val="3306666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33182"/>
        <c:crosses val="autoZero"/>
        <c:auto val="1"/>
        <c:lblAlgn val="ctr"/>
        <c:lblOffset val="100"/>
        <c:noMultiLvlLbl val="0"/>
      </c:catAx>
      <c:valAx>
        <c:axId val="594331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6666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889c8a-ad90-410d-bb36-a3f89d001b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[HR_Analysis_.xlsx]Sheet3!PivotTable2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Employee Performance Distribution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dLbl>
              <c:idx val="1"/>
              <c:layout>
                <c:manualLayout>
                  <c:x val="0.0645884727517381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320475442924423"/>
                      <c:h val="0.1032786885245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Developer</c:v>
                </c:pt>
                <c:pt idx="1">
                  <c:v>Executive</c:v>
                </c:pt>
                <c:pt idx="2">
                  <c:v>Manager</c:v>
                </c:pt>
              </c:strCache>
            </c:strRef>
          </c:cat>
          <c:val>
            <c:numRef>
              <c:f>Sheet3!$B$4:$B$7</c:f>
              <c:numCache>
                <c:formatCode>0.00%</c:formatCode>
                <c:ptCount val="3"/>
                <c:pt idx="0">
                  <c:v>0.96875</c:v>
                </c:pt>
                <c:pt idx="1">
                  <c:v>0.856060606060606</c:v>
                </c:pt>
                <c:pt idx="2">
                  <c:v>0.85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bcb192-78fa-4a25-83ec-1ccea67f4c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28647014361"/>
          <c:y val="0.0828526481384373"/>
          <c:w val="0.839556563366087"/>
          <c:h val="0.6962244362873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90908340"/>
        <c:axId val="284368868"/>
      </c:barChart>
      <c:catAx>
        <c:axId val="6909083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368868"/>
        <c:crosses val="autoZero"/>
        <c:auto val="1"/>
        <c:lblAlgn val="ctr"/>
        <c:lblOffset val="100"/>
        <c:noMultiLvlLbl val="0"/>
      </c:catAx>
      <c:valAx>
        <c:axId val="2843688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9083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8a4516-15ed-4943-b9e5-66e753ac2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[HR_Analysis_.xlsx]Sheet5!PivotTable4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Absent Days by Department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</c:v>
                </c:pt>
                <c:pt idx="1">
                  <c:v>14</c:v>
                </c:pt>
                <c:pt idx="2">
                  <c:v>2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c3ce64-30eb-4ef6-a5d8-e659fa297b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/>
              <a:t>Absent Days by Department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03797143"/>
        <c:axId val="66901935"/>
      </c:barChart>
      <c:catAx>
        <c:axId val="603797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6901935"/>
        <c:crosses val="autoZero"/>
        <c:auto val="1"/>
        <c:lblAlgn val="ctr"/>
        <c:lblOffset val="100"/>
        <c:noMultiLvlLbl val="0"/>
      </c:catAx>
      <c:valAx>
        <c:axId val="6690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03797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748a2e-2ee0-4413-9e59-c4821cb45de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45720</xdr:colOff>
      <xdr:row>2</xdr:row>
      <xdr:rowOff>22860</xdr:rowOff>
    </xdr:from>
    <xdr:to>
      <xdr:col>11</xdr:col>
      <xdr:colOff>581025</xdr:colOff>
      <xdr:row>17</xdr:row>
      <xdr:rowOff>160020</xdr:rowOff>
    </xdr:to>
    <xdr:graphicFrame>
      <xdr:nvGraphicFramePr>
        <xdr:cNvPr id="2" name="Chart 1"/>
        <xdr:cNvGraphicFramePr/>
      </xdr:nvGraphicFramePr>
      <xdr:xfrm>
        <a:off x="3307080" y="388620"/>
        <a:ext cx="6021705" cy="298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30480</xdr:colOff>
      <xdr:row>2</xdr:row>
      <xdr:rowOff>0</xdr:rowOff>
    </xdr:from>
    <xdr:to>
      <xdr:col>9</xdr:col>
      <xdr:colOff>589280</xdr:colOff>
      <xdr:row>19</xdr:row>
      <xdr:rowOff>37465</xdr:rowOff>
    </xdr:to>
    <xdr:graphicFrame>
      <xdr:nvGraphicFramePr>
        <xdr:cNvPr id="2" name="Chart 1"/>
        <xdr:cNvGraphicFramePr/>
      </xdr:nvGraphicFramePr>
      <xdr:xfrm>
        <a:off x="3276600" y="365760"/>
        <a:ext cx="482600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53340</xdr:colOff>
      <xdr:row>1</xdr:row>
      <xdr:rowOff>180340</xdr:rowOff>
    </xdr:from>
    <xdr:to>
      <xdr:col>11</xdr:col>
      <xdr:colOff>436880</xdr:colOff>
      <xdr:row>19</xdr:row>
      <xdr:rowOff>111125</xdr:rowOff>
    </xdr:to>
    <xdr:graphicFrame>
      <xdr:nvGraphicFramePr>
        <xdr:cNvPr id="2" name="Chart 1"/>
        <xdr:cNvGraphicFramePr/>
      </xdr:nvGraphicFramePr>
      <xdr:xfrm>
        <a:off x="3147060" y="363220"/>
        <a:ext cx="586994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137160</xdr:colOff>
      <xdr:row>2</xdr:row>
      <xdr:rowOff>0</xdr:rowOff>
    </xdr:from>
    <xdr:to>
      <xdr:col>10</xdr:col>
      <xdr:colOff>86360</xdr:colOff>
      <xdr:row>16</xdr:row>
      <xdr:rowOff>76200</xdr:rowOff>
    </xdr:to>
    <xdr:graphicFrame>
      <xdr:nvGraphicFramePr>
        <xdr:cNvPr id="2" name="Chart 1"/>
        <xdr:cNvGraphicFramePr/>
      </xdr:nvGraphicFramePr>
      <xdr:xfrm>
        <a:off x="2430780" y="3657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53340</xdr:colOff>
      <xdr:row>1</xdr:row>
      <xdr:rowOff>165100</xdr:rowOff>
    </xdr:from>
    <xdr:to>
      <xdr:col>12</xdr:col>
      <xdr:colOff>208280</xdr:colOff>
      <xdr:row>21</xdr:row>
      <xdr:rowOff>142240</xdr:rowOff>
    </xdr:to>
    <xdr:graphicFrame>
      <xdr:nvGraphicFramePr>
        <xdr:cNvPr id="2" name="Chart 1" descr="7b0a202020202263686172745265734964223a202234363530303930220a7d0a"/>
        <xdr:cNvGraphicFramePr/>
      </xdr:nvGraphicFramePr>
      <xdr:xfrm>
        <a:off x="2354580" y="347980"/>
        <a:ext cx="6250940" cy="3741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152400</xdr:rowOff>
    </xdr:from>
    <xdr:to>
      <xdr:col>10</xdr:col>
      <xdr:colOff>344805</xdr:colOff>
      <xdr:row>18</xdr:row>
      <xdr:rowOff>22860</xdr:rowOff>
    </xdr:to>
    <xdr:graphicFrame>
      <xdr:nvGraphicFramePr>
        <xdr:cNvPr id="3" name="Chart 2"/>
        <xdr:cNvGraphicFramePr/>
      </xdr:nvGraphicFramePr>
      <xdr:xfrm>
        <a:off x="3139440" y="335280"/>
        <a:ext cx="518350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0</xdr:row>
      <xdr:rowOff>7620</xdr:rowOff>
    </xdr:from>
    <xdr:to>
      <xdr:col>10</xdr:col>
      <xdr:colOff>162560</xdr:colOff>
      <xdr:row>10</xdr:row>
      <xdr:rowOff>114935</xdr:rowOff>
    </xdr:to>
    <xdr:graphicFrame>
      <xdr:nvGraphicFramePr>
        <xdr:cNvPr id="2" name="Chart 1"/>
        <xdr:cNvGraphicFramePr/>
      </xdr:nvGraphicFramePr>
      <xdr:xfrm>
        <a:off x="2811780" y="7620"/>
        <a:ext cx="5039360" cy="2301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8</xdr:row>
      <xdr:rowOff>30480</xdr:rowOff>
    </xdr:from>
    <xdr:to>
      <xdr:col>2</xdr:col>
      <xdr:colOff>12700</xdr:colOff>
      <xdr:row>24</xdr:row>
      <xdr:rowOff>14605</xdr:rowOff>
    </xdr:to>
    <xdr:graphicFrame>
      <xdr:nvGraphicFramePr>
        <xdr:cNvPr id="3" name="Chart 2"/>
        <xdr:cNvGraphicFramePr/>
      </xdr:nvGraphicFramePr>
      <xdr:xfrm>
        <a:off x="7620" y="1859280"/>
        <a:ext cx="2816860" cy="2910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10</xdr:row>
      <xdr:rowOff>121920</xdr:rowOff>
    </xdr:from>
    <xdr:to>
      <xdr:col>10</xdr:col>
      <xdr:colOff>27305</xdr:colOff>
      <xdr:row>23</xdr:row>
      <xdr:rowOff>181610</xdr:rowOff>
    </xdr:to>
    <xdr:graphicFrame>
      <xdr:nvGraphicFramePr>
        <xdr:cNvPr id="4" name="Chart 3"/>
        <xdr:cNvGraphicFramePr/>
      </xdr:nvGraphicFramePr>
      <xdr:xfrm>
        <a:off x="2811780" y="2316480"/>
        <a:ext cx="4904105" cy="2437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128270</xdr:colOff>
      <xdr:row>0</xdr:row>
      <xdr:rowOff>7620</xdr:rowOff>
    </xdr:from>
    <xdr:to>
      <xdr:col>17</xdr:col>
      <xdr:colOff>374650</xdr:colOff>
      <xdr:row>10</xdr:row>
      <xdr:rowOff>114300</xdr:rowOff>
    </xdr:to>
    <xdr:graphicFrame>
      <xdr:nvGraphicFramePr>
        <xdr:cNvPr id="5" name="Chart 4"/>
        <xdr:cNvGraphicFramePr/>
      </xdr:nvGraphicFramePr>
      <xdr:xfrm>
        <a:off x="7816850" y="7620"/>
        <a:ext cx="4513580" cy="230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15240</xdr:colOff>
      <xdr:row>10</xdr:row>
      <xdr:rowOff>137160</xdr:rowOff>
    </xdr:from>
    <xdr:to>
      <xdr:col>17</xdr:col>
      <xdr:colOff>520700</xdr:colOff>
      <xdr:row>23</xdr:row>
      <xdr:rowOff>176530</xdr:rowOff>
    </xdr:to>
    <xdr:graphicFrame>
      <xdr:nvGraphicFramePr>
        <xdr:cNvPr id="6" name="Chart 5" descr="7b0a202020202263686172745265734964223a202234363530303930220a7d0a"/>
        <xdr:cNvGraphicFramePr/>
      </xdr:nvGraphicFramePr>
      <xdr:xfrm>
        <a:off x="7703820" y="2331720"/>
        <a:ext cx="4772660" cy="2416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2.6196412037" refreshedBy="ADMIN" recordCount="20">
  <cacheSource type="worksheet">
    <worksheetSource ref="A1:L21" sheet="HR_Data"/>
  </cacheSource>
  <cacheFields count="12">
    <cacheField name="Employee ID" numFmtId="0">
      <sharedItems count="2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</sharedItems>
    </cacheField>
    <cacheField name="Name" numFmtId="0">
      <sharedItems count="20">
        <s v="Rajesh"/>
        <s v="Priya"/>
        <s v="Amit"/>
        <s v="Neha"/>
        <s v="Vikram"/>
        <s v="Deepa"/>
        <s v="Rohan"/>
        <s v="Sneha"/>
        <s v="Ankit"/>
        <s v="Pooja"/>
        <s v="Karthik"/>
        <s v="Divya"/>
        <s v="Sunil"/>
        <s v="Anjali"/>
        <s v="Vikas"/>
        <s v="Meera"/>
        <s v="Arjun"/>
        <s v="Farhan"/>
        <s v="Geeta"/>
        <s v="Lakshmi"/>
      </sharedItems>
    </cacheField>
    <cacheField name="Department" numFmtId="0">
      <sharedItems count="5">
        <s v="IT"/>
        <s v="HR"/>
        <s v="Sales"/>
        <s v="Finance"/>
        <s v="Marketing"/>
      </sharedItems>
    </cacheField>
    <cacheField name="Designation" numFmtId="0">
      <sharedItems count="3">
        <s v="Manager"/>
        <s v="Developer"/>
        <s v="Executive"/>
      </sharedItems>
    </cacheField>
    <cacheField name="Days Present" numFmtId="0">
      <sharedItems containsSemiMixedTypes="0" containsString="0" containsNumber="1" containsInteger="1" minValue="18" maxValue="24" count="7">
        <n v="22"/>
        <n v="23"/>
        <n v="20"/>
        <n v="21"/>
        <n v="18"/>
        <n v="19"/>
        <n v="24"/>
      </sharedItems>
    </cacheField>
    <cacheField name="Total Days" numFmtId="0">
      <sharedItems containsSemiMixedTypes="0" containsString="0" containsNumber="1" containsInteger="1" minValue="24" maxValue="24" count="1">
        <n v="24"/>
      </sharedItems>
    </cacheField>
    <cacheField name="Days Absent" numFmtId="0">
      <sharedItems containsSemiMixedTypes="0" containsString="0" containsNumber="1" containsInteger="1" minValue="0" maxValue="6" count="7">
        <n v="2"/>
        <n v="1"/>
        <n v="4"/>
        <n v="3"/>
        <n v="6"/>
        <n v="5"/>
        <n v="0"/>
      </sharedItems>
    </cacheField>
    <cacheField name="Late Arrivals" numFmtId="0">
      <sharedItems containsSemiMixedTypes="0" containsString="0" containsNumber="1" containsInteger="1" minValue="0" maxValue="5" count="6">
        <n v="1"/>
        <n v="0"/>
        <n v="3"/>
        <n v="2"/>
        <n v="5"/>
        <n v="4"/>
      </sharedItems>
    </cacheField>
    <cacheField name="Attendance Percentage" numFmtId="0">
      <sharedItems containsSemiMixedTypes="0" containsString="0" containsNumber="1" minValue="0.75" maxValue="1" count="7">
        <n v="0.916666666666667"/>
        <n v="0.958333333333333"/>
        <n v="0.833333333333333"/>
        <n v="0.875"/>
        <n v="0.75"/>
        <n v="0.791666666666667"/>
        <n v="1"/>
      </sharedItems>
    </cacheField>
    <cacheField name="Punctuality Score" numFmtId="0">
      <sharedItems containsSemiMixedTypes="0" containsString="0" containsNumber="1" containsInteger="1" minValue="75" maxValue="100" count="6">
        <n v="95"/>
        <n v="100"/>
        <n v="85"/>
        <n v="90"/>
        <n v="75"/>
        <n v="80"/>
      </sharedItems>
    </cacheField>
    <cacheField name="Performance Category" numFmtId="0">
      <sharedItems count="3">
        <s v="Good"/>
        <s v="Excellent"/>
        <s v="Average"/>
      </sharedItems>
    </cacheField>
    <cacheField name="Month" numFmtId="0">
      <sharedItems count="1">
        <s v="Ja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0"/>
    <x v="1"/>
    <x v="1"/>
    <x v="1"/>
    <x v="1"/>
    <x v="1"/>
    <x v="0"/>
  </r>
  <r>
    <x v="2"/>
    <x v="2"/>
    <x v="1"/>
    <x v="0"/>
    <x v="2"/>
    <x v="0"/>
    <x v="2"/>
    <x v="2"/>
    <x v="2"/>
    <x v="2"/>
    <x v="2"/>
    <x v="0"/>
  </r>
  <r>
    <x v="3"/>
    <x v="3"/>
    <x v="1"/>
    <x v="2"/>
    <x v="3"/>
    <x v="0"/>
    <x v="3"/>
    <x v="3"/>
    <x v="3"/>
    <x v="3"/>
    <x v="0"/>
    <x v="0"/>
  </r>
  <r>
    <x v="4"/>
    <x v="4"/>
    <x v="2"/>
    <x v="0"/>
    <x v="4"/>
    <x v="0"/>
    <x v="4"/>
    <x v="4"/>
    <x v="4"/>
    <x v="4"/>
    <x v="2"/>
    <x v="0"/>
  </r>
  <r>
    <x v="5"/>
    <x v="5"/>
    <x v="2"/>
    <x v="2"/>
    <x v="5"/>
    <x v="0"/>
    <x v="5"/>
    <x v="5"/>
    <x v="5"/>
    <x v="5"/>
    <x v="2"/>
    <x v="0"/>
  </r>
  <r>
    <x v="6"/>
    <x v="6"/>
    <x v="0"/>
    <x v="1"/>
    <x v="6"/>
    <x v="0"/>
    <x v="6"/>
    <x v="1"/>
    <x v="6"/>
    <x v="1"/>
    <x v="1"/>
    <x v="0"/>
  </r>
  <r>
    <x v="7"/>
    <x v="7"/>
    <x v="3"/>
    <x v="0"/>
    <x v="0"/>
    <x v="0"/>
    <x v="0"/>
    <x v="0"/>
    <x v="0"/>
    <x v="0"/>
    <x v="0"/>
    <x v="0"/>
  </r>
  <r>
    <x v="8"/>
    <x v="8"/>
    <x v="3"/>
    <x v="2"/>
    <x v="1"/>
    <x v="0"/>
    <x v="1"/>
    <x v="1"/>
    <x v="1"/>
    <x v="1"/>
    <x v="1"/>
    <x v="0"/>
  </r>
  <r>
    <x v="9"/>
    <x v="9"/>
    <x v="4"/>
    <x v="0"/>
    <x v="2"/>
    <x v="0"/>
    <x v="2"/>
    <x v="3"/>
    <x v="2"/>
    <x v="3"/>
    <x v="2"/>
    <x v="0"/>
  </r>
  <r>
    <x v="10"/>
    <x v="10"/>
    <x v="4"/>
    <x v="2"/>
    <x v="3"/>
    <x v="0"/>
    <x v="3"/>
    <x v="3"/>
    <x v="3"/>
    <x v="3"/>
    <x v="0"/>
    <x v="0"/>
  </r>
  <r>
    <x v="11"/>
    <x v="11"/>
    <x v="0"/>
    <x v="1"/>
    <x v="0"/>
    <x v="0"/>
    <x v="0"/>
    <x v="0"/>
    <x v="0"/>
    <x v="0"/>
    <x v="0"/>
    <x v="0"/>
  </r>
  <r>
    <x v="12"/>
    <x v="12"/>
    <x v="1"/>
    <x v="2"/>
    <x v="5"/>
    <x v="0"/>
    <x v="5"/>
    <x v="5"/>
    <x v="5"/>
    <x v="5"/>
    <x v="2"/>
    <x v="0"/>
  </r>
  <r>
    <x v="13"/>
    <x v="13"/>
    <x v="2"/>
    <x v="2"/>
    <x v="2"/>
    <x v="0"/>
    <x v="2"/>
    <x v="2"/>
    <x v="2"/>
    <x v="2"/>
    <x v="2"/>
    <x v="0"/>
  </r>
  <r>
    <x v="14"/>
    <x v="14"/>
    <x v="3"/>
    <x v="2"/>
    <x v="1"/>
    <x v="0"/>
    <x v="1"/>
    <x v="1"/>
    <x v="1"/>
    <x v="1"/>
    <x v="1"/>
    <x v="0"/>
  </r>
  <r>
    <x v="15"/>
    <x v="15"/>
    <x v="4"/>
    <x v="2"/>
    <x v="3"/>
    <x v="0"/>
    <x v="3"/>
    <x v="3"/>
    <x v="3"/>
    <x v="3"/>
    <x v="0"/>
    <x v="0"/>
  </r>
  <r>
    <x v="16"/>
    <x v="16"/>
    <x v="0"/>
    <x v="1"/>
    <x v="6"/>
    <x v="0"/>
    <x v="6"/>
    <x v="1"/>
    <x v="6"/>
    <x v="1"/>
    <x v="1"/>
    <x v="0"/>
  </r>
  <r>
    <x v="17"/>
    <x v="17"/>
    <x v="1"/>
    <x v="2"/>
    <x v="4"/>
    <x v="0"/>
    <x v="4"/>
    <x v="4"/>
    <x v="4"/>
    <x v="4"/>
    <x v="2"/>
    <x v="0"/>
  </r>
  <r>
    <x v="18"/>
    <x v="18"/>
    <x v="2"/>
    <x v="2"/>
    <x v="5"/>
    <x v="0"/>
    <x v="5"/>
    <x v="5"/>
    <x v="5"/>
    <x v="5"/>
    <x v="2"/>
    <x v="0"/>
  </r>
  <r>
    <x v="19"/>
    <x v="19"/>
    <x v="3"/>
    <x v="2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/>
    <pivotField compact="0" showAll="0"/>
    <pivotField axis="axisRow" compact="0" showAll="0">
      <items count="6">
        <item x="3"/>
        <item x="1"/>
        <item x="0"/>
        <item x="4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ttendance Percentage" fld="8" subtotal="average" baseField="0" baseItem="0"/>
  </dataFields>
  <formats count="9">
    <format dxfId="0">
      <pivotArea collapsedLevelsAreSubtotals="1" fieldPosition="0">
        <references count="1">
          <reference field="2" count="1" selected="0">
            <x v="0"/>
          </reference>
        </references>
      </pivotArea>
    </format>
    <format dxfId="1">
      <pivotArea collapsedLevelsAreSubtotals="1" fieldPosition="0">
        <references count="1">
          <reference field="2" count="1" selected="0">
            <x v="1"/>
          </reference>
        </references>
      </pivotArea>
    </format>
    <format dxfId="2">
      <pivotArea collapsedLevelsAreSubtotals="1" fieldPosition="0">
        <references count="1">
          <reference field="2" count="1" selected="0">
            <x v="2"/>
          </reference>
        </references>
      </pivotArea>
    </format>
    <format dxfId="3">
      <pivotArea collapsedLevelsAreSubtotals="1" fieldPosition="0">
        <references count="1">
          <reference field="2" count="1" selected="0">
            <x v="3"/>
          </reference>
        </references>
      </pivotArea>
    </format>
    <format dxfId="4">
      <pivotArea collapsedLevelsAreSubtotals="1" fieldPosition="0">
        <references count="1">
          <reference field="2" count="1" selected="0">
            <x v="4"/>
          </reference>
        </references>
      </pivotArea>
    </format>
    <format dxfId="5">
      <pivotArea type="all" dataOnly="0" outline="0" fieldPosition="0"/>
    </format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2">
    <pivotField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endance Percentage" fld="8" subtotal="average" baseField="0" baseItem="0"/>
  </dataFields>
  <formats count="8">
    <format dxfId="9">
      <pivotArea collapsedLevelsAreSubtotals="1" fieldPosition="0">
        <references count="1">
          <reference field="3" count="1" selected="0">
            <x v="0"/>
          </reference>
        </references>
      </pivotArea>
    </format>
    <format dxfId="10">
      <pivotArea collapsedLevelsAreSubtotals="1" fieldPosition="0">
        <references count="1">
          <reference field="3" count="1" selected="0">
            <x v="1"/>
          </reference>
        </references>
      </pivotArea>
    </format>
    <format dxfId="11">
      <pivotArea collapsedLevelsAreSubtotals="1" fieldPosition="0">
        <references count="1">
          <reference field="3" count="1" selected="0">
            <x v="2"/>
          </reference>
        </references>
      </pivotArea>
    </format>
    <format dxfId="12">
      <pivotArea type="all" dataOnly="0" outline="0" fieldPosition="0"/>
    </format>
    <format dxfId="13">
      <pivotArea type="all" dataOnly="0" outline="0" fieldPosition="0"/>
    </format>
    <format dxfId="14">
      <pivotArea type="all" dataOnly="0" outline="0" fieldPosition="0"/>
    </format>
    <format dxfId="15">
      <pivotArea collapsedLevelsAreSubtotals="1" fieldPosition="0"/>
    </format>
    <format dxfId="16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formats count="4">
    <format dxfId="17">
      <pivotArea type="all" dataOnly="0" outline="0" fieldPosition="0"/>
    </format>
    <format dxfId="18">
      <pivotArea type="all" dataOnly="0" outline="0" fieldPosition="0"/>
    </format>
    <format dxfId="19">
      <pivotArea type="all" dataOnly="0" outline="0" fieldPosition="0"/>
    </format>
    <format dxfId="2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/>
    <pivotField compact="0" showAll="0"/>
    <pivotField axis="axisRow" compact="0" showAll="0">
      <items count="6">
        <item x="3"/>
        <item x="1"/>
        <item x="0"/>
        <item x="4"/>
        <item x="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ate Arrivals" fld="7" baseField="0" baseItem="0"/>
  </dataFields>
  <formats count="4">
    <format dxfId="21">
      <pivotArea type="all" dataOnly="0" outline="0" fieldPosition="0"/>
    </format>
    <format dxfId="22">
      <pivotArea type="all" dataOnly="0" outline="0" fieldPosition="0"/>
    </format>
    <format dxfId="23">
      <pivotArea type="all" dataOnly="0" outline="0" fieldPosition="0"/>
    </format>
    <format dxfId="2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12">
    <pivotField compact="0" showAll="0"/>
    <pivotField compact="0" showAll="0"/>
    <pivotField axis="axisRow" compact="0" showAll="0">
      <items count="6">
        <item x="3"/>
        <item x="1"/>
        <item x="0"/>
        <item x="4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ays Absent" fld="6" baseField="0" baseItem="0"/>
  </dataFields>
  <formats count="4">
    <format dxfId="25">
      <pivotArea type="all" dataOnly="0" outline="0" fieldPosition="0"/>
    </format>
    <format dxfId="26">
      <pivotArea type="all" dataOnly="0" outline="0" fieldPosition="0"/>
    </format>
    <format dxfId="27">
      <pivotArea type="all" dataOnly="0" outline="0" fieldPosition="0"/>
    </format>
    <format dxfId="2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/>
    <pivotField axis="axisRow" measureFilter="1" compact="0" sortType="descending" showAll="0">
      <items count="21">
        <item x="2"/>
        <item x="13"/>
        <item x="8"/>
        <item x="16"/>
        <item x="5"/>
        <item x="11"/>
        <item x="17"/>
        <item x="18"/>
        <item x="10"/>
        <item x="19"/>
        <item x="15"/>
        <item x="3"/>
        <item x="9"/>
        <item x="1"/>
        <item x="0"/>
        <item x="6"/>
        <item x="7"/>
        <item x="12"/>
        <item x="14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"/>
  </rowFields>
  <rowItems count="6">
    <i>
      <x v="15"/>
    </i>
    <i>
      <x v="3"/>
    </i>
    <i>
      <x v="18"/>
    </i>
    <i>
      <x v="13"/>
    </i>
    <i>
      <x v="2"/>
    </i>
    <i t="grand">
      <x/>
    </i>
  </rowItems>
  <colItems count="1">
    <i/>
  </colItems>
  <dataFields count="1">
    <dataField name="Average of Attendance Percentage" fld="8" subtotal="average" baseField="0" baseItem="0"/>
  </dataFields>
  <formats count="4">
    <format dxfId="29">
      <pivotArea type="all" dataOnly="0" outline="0" fieldPosition="0"/>
    </format>
    <format dxfId="30">
      <pivotArea type="all" dataOnly="0" outline="0" fieldPosition="0"/>
    </format>
    <format dxfId="31">
      <pivotArea type="all" dataOnly="0" outline="0" fieldPosition="0"/>
    </format>
    <format dxfId="32">
      <pivotArea type="all" dataOnly="0" outline="0" fieldPosition="0"/>
    </format>
  </format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D23" sqref="D23"/>
    </sheetView>
  </sheetViews>
  <sheetFormatPr defaultColWidth="8.88888888888889" defaultRowHeight="14.4" outlineLevelCol="1"/>
  <cols>
    <col min="1" max="1" width="14"/>
    <col min="2" max="2" width="33.5555555555556"/>
  </cols>
  <sheetData>
    <row r="3" ht="15.6" spans="1:2">
      <c r="A3" s="8" t="s">
        <v>0</v>
      </c>
      <c r="B3" s="11" t="s">
        <v>1</v>
      </c>
    </row>
    <row r="4" ht="15.6" spans="1:2">
      <c r="A4" s="8" t="s">
        <v>2</v>
      </c>
      <c r="B4" s="10">
        <v>0.9375</v>
      </c>
    </row>
    <row r="5" ht="15.6" spans="1:2">
      <c r="A5" s="8" t="s">
        <v>3</v>
      </c>
      <c r="B5" s="10">
        <v>0.8125</v>
      </c>
    </row>
    <row r="6" ht="15.6" spans="1:2">
      <c r="A6" s="8" t="s">
        <v>4</v>
      </c>
      <c r="B6" s="10">
        <v>0.958333333333333</v>
      </c>
    </row>
    <row r="7" ht="15.6" spans="1:2">
      <c r="A7" s="8" t="s">
        <v>5</v>
      </c>
      <c r="B7" s="10">
        <v>0.861111111111111</v>
      </c>
    </row>
    <row r="8" ht="15.6" spans="1:2">
      <c r="A8" s="8" t="s">
        <v>6</v>
      </c>
      <c r="B8" s="10">
        <v>0.791666666666667</v>
      </c>
    </row>
    <row r="9" ht="15.6" spans="1:2">
      <c r="A9" s="8" t="s">
        <v>7</v>
      </c>
      <c r="B9" s="9">
        <v>0.877083333333333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21" sqref="L21"/>
    </sheetView>
  </sheetViews>
  <sheetFormatPr defaultColWidth="8.88888888888889" defaultRowHeight="14.4" outlineLevelRow="6" outlineLevelCol="1"/>
  <cols>
    <col min="1" max="1" width="13.7777777777778"/>
    <col min="2" max="2" width="33.5555555555556"/>
  </cols>
  <sheetData>
    <row r="3" ht="15.6" spans="1:2">
      <c r="A3" s="8" t="s">
        <v>8</v>
      </c>
      <c r="B3" s="8" t="s">
        <v>1</v>
      </c>
    </row>
    <row r="4" ht="15.6" spans="1:2">
      <c r="A4" s="8" t="s">
        <v>9</v>
      </c>
      <c r="B4" s="10">
        <v>0.96875</v>
      </c>
    </row>
    <row r="5" ht="15.6" spans="1:2">
      <c r="A5" s="8" t="s">
        <v>10</v>
      </c>
      <c r="B5" s="10">
        <v>0.856060606060606</v>
      </c>
    </row>
    <row r="6" ht="15.6" spans="1:2">
      <c r="A6" s="8" t="s">
        <v>11</v>
      </c>
      <c r="B6" s="10">
        <v>0.85</v>
      </c>
    </row>
    <row r="7" ht="15.6" spans="1:2">
      <c r="A7" s="8" t="s">
        <v>7</v>
      </c>
      <c r="B7" s="10">
        <v>0.877083333333333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K25" sqref="K25"/>
    </sheetView>
  </sheetViews>
  <sheetFormatPr defaultColWidth="8.88888888888889" defaultRowHeight="14.4" outlineLevelRow="6" outlineLevelCol="1"/>
  <cols>
    <col min="1" max="1" width="23.8888888888889"/>
    <col min="2" max="2" width="21.2222222222222"/>
  </cols>
  <sheetData>
    <row r="3" ht="15.6" spans="1:2">
      <c r="A3" s="8" t="s">
        <v>12</v>
      </c>
      <c r="B3" s="8" t="s">
        <v>13</v>
      </c>
    </row>
    <row r="4" ht="15.6" spans="1:2">
      <c r="A4" s="8" t="s">
        <v>14</v>
      </c>
      <c r="B4" s="9">
        <v>8</v>
      </c>
    </row>
    <row r="5" ht="15.6" spans="1:2">
      <c r="A5" s="8" t="s">
        <v>15</v>
      </c>
      <c r="B5" s="9">
        <v>5</v>
      </c>
    </row>
    <row r="6" ht="15.6" spans="1:2">
      <c r="A6" s="8" t="s">
        <v>16</v>
      </c>
      <c r="B6" s="9">
        <v>7</v>
      </c>
    </row>
    <row r="7" ht="15.6" spans="1:2">
      <c r="A7" s="8" t="s">
        <v>7</v>
      </c>
      <c r="B7" s="9">
        <v>20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K25" sqref="K25"/>
    </sheetView>
  </sheetViews>
  <sheetFormatPr defaultColWidth="8.88888888888889" defaultRowHeight="14.4" outlineLevelCol="1"/>
  <cols>
    <col min="1" max="1" width="14"/>
    <col min="2" max="2" width="19.4444444444444"/>
  </cols>
  <sheetData>
    <row r="3" ht="15.6" spans="1:2">
      <c r="A3" s="8" t="s">
        <v>0</v>
      </c>
      <c r="B3" s="8" t="s">
        <v>17</v>
      </c>
    </row>
    <row r="4" ht="15.6" spans="1:2">
      <c r="A4" s="8" t="s">
        <v>2</v>
      </c>
      <c r="B4" s="9">
        <v>2</v>
      </c>
    </row>
    <row r="5" ht="15.6" spans="1:2">
      <c r="A5" s="8" t="s">
        <v>3</v>
      </c>
      <c r="B5" s="9">
        <v>14</v>
      </c>
    </row>
    <row r="6" ht="15.6" spans="1:2">
      <c r="A6" s="8" t="s">
        <v>4</v>
      </c>
      <c r="B6" s="9">
        <v>2</v>
      </c>
    </row>
    <row r="7" ht="15.6" spans="1:2">
      <c r="A7" s="8" t="s">
        <v>5</v>
      </c>
      <c r="B7" s="9">
        <v>6</v>
      </c>
    </row>
    <row r="8" ht="15.6" spans="1:2">
      <c r="A8" s="8" t="s">
        <v>6</v>
      </c>
      <c r="B8" s="9">
        <v>16</v>
      </c>
    </row>
    <row r="9" ht="15.6" spans="1:2">
      <c r="A9" s="8" t="s">
        <v>7</v>
      </c>
      <c r="B9" s="9">
        <v>40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N14" sqref="N14"/>
    </sheetView>
  </sheetViews>
  <sheetFormatPr defaultColWidth="8.88888888888889" defaultRowHeight="14.4" outlineLevelCol="1"/>
  <cols>
    <col min="1" max="1" width="14"/>
    <col min="2" max="2" width="19.5555555555556"/>
  </cols>
  <sheetData>
    <row r="3" ht="15.6" spans="1:2">
      <c r="A3" s="8" t="s">
        <v>0</v>
      </c>
      <c r="B3" s="8" t="s">
        <v>18</v>
      </c>
    </row>
    <row r="4" ht="15.6" spans="1:2">
      <c r="A4" s="8" t="s">
        <v>2</v>
      </c>
      <c r="B4" s="9">
        <v>6</v>
      </c>
    </row>
    <row r="5" ht="15.6" spans="1:2">
      <c r="A5" s="8" t="s">
        <v>3</v>
      </c>
      <c r="B5" s="9">
        <v>18</v>
      </c>
    </row>
    <row r="6" ht="15.6" spans="1:2">
      <c r="A6" s="8" t="s">
        <v>4</v>
      </c>
      <c r="B6" s="9">
        <v>5</v>
      </c>
    </row>
    <row r="7" ht="15.6" spans="1:2">
      <c r="A7" s="8" t="s">
        <v>5</v>
      </c>
      <c r="B7" s="9">
        <v>10</v>
      </c>
    </row>
    <row r="8" ht="15.6" spans="1:2">
      <c r="A8" s="8" t="s">
        <v>6</v>
      </c>
      <c r="B8" s="9">
        <v>20</v>
      </c>
    </row>
    <row r="9" ht="15.6" spans="1:2">
      <c r="A9" s="8" t="s">
        <v>7</v>
      </c>
      <c r="B9" s="9">
        <v>59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I22" sqref="I22"/>
    </sheetView>
  </sheetViews>
  <sheetFormatPr defaultColWidth="8.88888888888889" defaultRowHeight="14.4" outlineLevelCol="1"/>
  <cols>
    <col min="1" max="1" width="11.6666666666667"/>
    <col min="2" max="2" width="33.5555555555556"/>
  </cols>
  <sheetData>
    <row r="3" ht="15.6" spans="1:2">
      <c r="A3" s="8" t="s">
        <v>19</v>
      </c>
      <c r="B3" s="8" t="s">
        <v>1</v>
      </c>
    </row>
    <row r="4" ht="15.6" spans="1:2">
      <c r="A4" s="8" t="s">
        <v>20</v>
      </c>
      <c r="B4" s="9">
        <v>1</v>
      </c>
    </row>
    <row r="5" ht="15.6" spans="1:2">
      <c r="A5" s="8" t="s">
        <v>21</v>
      </c>
      <c r="B5" s="9">
        <v>1</v>
      </c>
    </row>
    <row r="6" ht="15.6" spans="1:2">
      <c r="A6" s="8" t="s">
        <v>22</v>
      </c>
      <c r="B6" s="9">
        <v>0.958333333333333</v>
      </c>
    </row>
    <row r="7" ht="15.6" spans="1:2">
      <c r="A7" s="8" t="s">
        <v>23</v>
      </c>
      <c r="B7" s="9">
        <v>0.958333333333333</v>
      </c>
    </row>
    <row r="8" ht="15.6" spans="1:2">
      <c r="A8" s="8" t="s">
        <v>24</v>
      </c>
      <c r="B8" s="9">
        <v>0.958333333333333</v>
      </c>
    </row>
    <row r="9" ht="15.6" spans="1:2">
      <c r="A9" s="8" t="s">
        <v>7</v>
      </c>
      <c r="B9" s="9">
        <v>0.975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I23" sqref="I23"/>
    </sheetView>
  </sheetViews>
  <sheetFormatPr defaultColWidth="8.88888888888889" defaultRowHeight="14.4"/>
  <cols>
    <col min="1" max="1" width="12.2222222222222" customWidth="1"/>
    <col min="2" max="2" width="11.8888888888889" customWidth="1"/>
    <col min="3" max="3" width="13.8888888888889" customWidth="1"/>
    <col min="4" max="4" width="12.2222222222222" customWidth="1"/>
    <col min="5" max="5" width="13.8888888888889" customWidth="1"/>
    <col min="6" max="6" width="11.2222222222222" customWidth="1"/>
    <col min="7" max="7" width="11.4444444444444" customWidth="1"/>
    <col min="8" max="8" width="11.3333333333333" customWidth="1"/>
    <col min="9" max="9" width="20.2222222222222" customWidth="1"/>
    <col min="10" max="10" width="15.2222222222222" customWidth="1"/>
    <col min="11" max="11" width="19.1111111111111" customWidth="1"/>
  </cols>
  <sheetData>
    <row r="1" spans="1:12">
      <c r="A1" s="5" t="s">
        <v>25</v>
      </c>
      <c r="B1" s="5" t="s">
        <v>19</v>
      </c>
      <c r="C1" s="5" t="s">
        <v>0</v>
      </c>
      <c r="D1" s="5" t="s">
        <v>8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12</v>
      </c>
      <c r="L1" s="5" t="s">
        <v>32</v>
      </c>
    </row>
    <row r="2" spans="1:12">
      <c r="A2" s="6" t="s">
        <v>33</v>
      </c>
      <c r="B2" s="6" t="s">
        <v>34</v>
      </c>
      <c r="C2" s="6" t="s">
        <v>4</v>
      </c>
      <c r="D2" s="6" t="s">
        <v>11</v>
      </c>
      <c r="E2" s="7">
        <v>22</v>
      </c>
      <c r="F2" s="7">
        <v>24</v>
      </c>
      <c r="G2" s="7">
        <v>2</v>
      </c>
      <c r="H2" s="7">
        <v>1</v>
      </c>
      <c r="I2" s="7">
        <f>E2/F2</f>
        <v>0.916666666666667</v>
      </c>
      <c r="J2" s="7">
        <f>100-(H2*5)</f>
        <v>95</v>
      </c>
      <c r="K2" s="6" t="str">
        <f>IF(I2&gt;=0.95,"Excellent",IF(I2&gt;=0.85,"Good",IF(I2&gt;=0.75,"Average","Poor")))</f>
        <v>Good</v>
      </c>
      <c r="L2" s="6" t="s">
        <v>35</v>
      </c>
    </row>
    <row r="3" spans="1:12">
      <c r="A3" s="6" t="s">
        <v>36</v>
      </c>
      <c r="B3" s="6" t="s">
        <v>23</v>
      </c>
      <c r="C3" s="6" t="s">
        <v>4</v>
      </c>
      <c r="D3" s="6" t="s">
        <v>9</v>
      </c>
      <c r="E3" s="7">
        <v>23</v>
      </c>
      <c r="F3" s="7">
        <v>24</v>
      </c>
      <c r="G3" s="7">
        <v>1</v>
      </c>
      <c r="H3" s="7">
        <v>0</v>
      </c>
      <c r="I3" s="7">
        <f t="shared" ref="I3:I21" si="0">E3/F3</f>
        <v>0.958333333333333</v>
      </c>
      <c r="J3" s="7">
        <f t="shared" ref="J3:J21" si="1">100-(H3*5)</f>
        <v>100</v>
      </c>
      <c r="K3" s="6" t="str">
        <f t="shared" ref="K3:K21" si="2">IF(I3&gt;=0.95,"Excellent",IF(I3&gt;=0.85,"Good",IF(I3&gt;=0.75,"Average","Poor")))</f>
        <v>Excellent</v>
      </c>
      <c r="L3" s="6" t="s">
        <v>37</v>
      </c>
    </row>
    <row r="4" spans="1:12">
      <c r="A4" s="6" t="s">
        <v>38</v>
      </c>
      <c r="B4" s="6" t="s">
        <v>39</v>
      </c>
      <c r="C4" s="6" t="s">
        <v>3</v>
      </c>
      <c r="D4" s="6" t="s">
        <v>11</v>
      </c>
      <c r="E4" s="7">
        <v>20</v>
      </c>
      <c r="F4" s="7">
        <v>24</v>
      </c>
      <c r="G4" s="7">
        <v>4</v>
      </c>
      <c r="H4" s="7">
        <v>3</v>
      </c>
      <c r="I4" s="7">
        <f t="shared" si="0"/>
        <v>0.833333333333333</v>
      </c>
      <c r="J4" s="7">
        <f t="shared" si="1"/>
        <v>85</v>
      </c>
      <c r="K4" s="6" t="str">
        <f t="shared" si="2"/>
        <v>Average</v>
      </c>
      <c r="L4" s="6" t="s">
        <v>37</v>
      </c>
    </row>
    <row r="5" spans="1:12">
      <c r="A5" s="6" t="s">
        <v>40</v>
      </c>
      <c r="B5" s="6" t="s">
        <v>41</v>
      </c>
      <c r="C5" s="6" t="s">
        <v>3</v>
      </c>
      <c r="D5" s="6" t="s">
        <v>10</v>
      </c>
      <c r="E5" s="7">
        <v>21</v>
      </c>
      <c r="F5" s="7">
        <v>24</v>
      </c>
      <c r="G5" s="7">
        <v>3</v>
      </c>
      <c r="H5" s="7">
        <v>2</v>
      </c>
      <c r="I5" s="7">
        <f t="shared" si="0"/>
        <v>0.875</v>
      </c>
      <c r="J5" s="7">
        <f t="shared" si="1"/>
        <v>90</v>
      </c>
      <c r="K5" s="6" t="str">
        <f t="shared" si="2"/>
        <v>Good</v>
      </c>
      <c r="L5" s="6" t="s">
        <v>37</v>
      </c>
    </row>
    <row r="6" spans="1:12">
      <c r="A6" s="6" t="s">
        <v>42</v>
      </c>
      <c r="B6" s="6" t="s">
        <v>43</v>
      </c>
      <c r="C6" s="6" t="s">
        <v>6</v>
      </c>
      <c r="D6" s="6" t="s">
        <v>11</v>
      </c>
      <c r="E6" s="7">
        <v>18</v>
      </c>
      <c r="F6" s="7">
        <v>24</v>
      </c>
      <c r="G6" s="7">
        <v>6</v>
      </c>
      <c r="H6" s="7">
        <v>5</v>
      </c>
      <c r="I6" s="7">
        <f t="shared" si="0"/>
        <v>0.75</v>
      </c>
      <c r="J6" s="7">
        <f t="shared" si="1"/>
        <v>75</v>
      </c>
      <c r="K6" s="6" t="str">
        <f t="shared" si="2"/>
        <v>Average</v>
      </c>
      <c r="L6" s="6" t="s">
        <v>37</v>
      </c>
    </row>
    <row r="7" spans="1:12">
      <c r="A7" s="6" t="s">
        <v>44</v>
      </c>
      <c r="B7" s="6" t="s">
        <v>45</v>
      </c>
      <c r="C7" s="6" t="s">
        <v>6</v>
      </c>
      <c r="D7" s="6" t="s">
        <v>10</v>
      </c>
      <c r="E7" s="7">
        <v>19</v>
      </c>
      <c r="F7" s="7">
        <v>24</v>
      </c>
      <c r="G7" s="7">
        <v>5</v>
      </c>
      <c r="H7" s="7">
        <v>4</v>
      </c>
      <c r="I7" s="7">
        <f t="shared" si="0"/>
        <v>0.791666666666667</v>
      </c>
      <c r="J7" s="7">
        <f t="shared" si="1"/>
        <v>80</v>
      </c>
      <c r="K7" s="6" t="str">
        <f t="shared" si="2"/>
        <v>Average</v>
      </c>
      <c r="L7" s="6" t="s">
        <v>37</v>
      </c>
    </row>
    <row r="8" spans="1:12">
      <c r="A8" s="6" t="s">
        <v>46</v>
      </c>
      <c r="B8" s="6" t="s">
        <v>20</v>
      </c>
      <c r="C8" s="6" t="s">
        <v>4</v>
      </c>
      <c r="D8" s="6" t="s">
        <v>9</v>
      </c>
      <c r="E8" s="7">
        <v>24</v>
      </c>
      <c r="F8" s="7">
        <v>24</v>
      </c>
      <c r="G8" s="7">
        <v>0</v>
      </c>
      <c r="H8" s="7">
        <v>0</v>
      </c>
      <c r="I8" s="7">
        <f t="shared" si="0"/>
        <v>1</v>
      </c>
      <c r="J8" s="7">
        <f t="shared" si="1"/>
        <v>100</v>
      </c>
      <c r="K8" s="6" t="str">
        <f t="shared" si="2"/>
        <v>Excellent</v>
      </c>
      <c r="L8" s="6" t="s">
        <v>37</v>
      </c>
    </row>
    <row r="9" spans="1:12">
      <c r="A9" s="6" t="s">
        <v>47</v>
      </c>
      <c r="B9" s="6" t="s">
        <v>48</v>
      </c>
      <c r="C9" s="6" t="s">
        <v>2</v>
      </c>
      <c r="D9" s="6" t="s">
        <v>11</v>
      </c>
      <c r="E9" s="7">
        <v>22</v>
      </c>
      <c r="F9" s="7">
        <v>24</v>
      </c>
      <c r="G9" s="7">
        <v>2</v>
      </c>
      <c r="H9" s="7">
        <v>1</v>
      </c>
      <c r="I9" s="7">
        <f t="shared" si="0"/>
        <v>0.916666666666667</v>
      </c>
      <c r="J9" s="7">
        <f t="shared" si="1"/>
        <v>95</v>
      </c>
      <c r="K9" s="6" t="str">
        <f t="shared" si="2"/>
        <v>Good</v>
      </c>
      <c r="L9" s="6" t="s">
        <v>37</v>
      </c>
    </row>
    <row r="10" spans="1:12">
      <c r="A10" s="6" t="s">
        <v>49</v>
      </c>
      <c r="B10" s="6" t="s">
        <v>24</v>
      </c>
      <c r="C10" s="6" t="s">
        <v>2</v>
      </c>
      <c r="D10" s="6" t="s">
        <v>10</v>
      </c>
      <c r="E10" s="7">
        <v>23</v>
      </c>
      <c r="F10" s="7">
        <v>24</v>
      </c>
      <c r="G10" s="7">
        <v>1</v>
      </c>
      <c r="H10" s="7">
        <v>0</v>
      </c>
      <c r="I10" s="7">
        <f t="shared" si="0"/>
        <v>0.958333333333333</v>
      </c>
      <c r="J10" s="7">
        <f t="shared" si="1"/>
        <v>100</v>
      </c>
      <c r="K10" s="6" t="str">
        <f t="shared" si="2"/>
        <v>Excellent</v>
      </c>
      <c r="L10" s="6" t="s">
        <v>37</v>
      </c>
    </row>
    <row r="11" spans="1:12">
      <c r="A11" s="6" t="s">
        <v>50</v>
      </c>
      <c r="B11" s="6" t="s">
        <v>51</v>
      </c>
      <c r="C11" s="6" t="s">
        <v>5</v>
      </c>
      <c r="D11" s="6" t="s">
        <v>11</v>
      </c>
      <c r="E11" s="7">
        <v>20</v>
      </c>
      <c r="F11" s="7">
        <v>24</v>
      </c>
      <c r="G11" s="7">
        <v>4</v>
      </c>
      <c r="H11" s="7">
        <v>2</v>
      </c>
      <c r="I11" s="7">
        <f t="shared" si="0"/>
        <v>0.833333333333333</v>
      </c>
      <c r="J11" s="7">
        <f t="shared" si="1"/>
        <v>90</v>
      </c>
      <c r="K11" s="6" t="str">
        <f t="shared" si="2"/>
        <v>Average</v>
      </c>
      <c r="L11" s="6" t="s">
        <v>37</v>
      </c>
    </row>
    <row r="12" spans="1:12">
      <c r="A12" s="6" t="s">
        <v>52</v>
      </c>
      <c r="B12" s="6" t="s">
        <v>53</v>
      </c>
      <c r="C12" s="6" t="s">
        <v>5</v>
      </c>
      <c r="D12" s="6" t="s">
        <v>10</v>
      </c>
      <c r="E12" s="7">
        <v>21</v>
      </c>
      <c r="F12" s="7">
        <v>24</v>
      </c>
      <c r="G12" s="7">
        <v>3</v>
      </c>
      <c r="H12" s="7">
        <v>2</v>
      </c>
      <c r="I12" s="7">
        <f t="shared" si="0"/>
        <v>0.875</v>
      </c>
      <c r="J12" s="7">
        <f t="shared" si="1"/>
        <v>90</v>
      </c>
      <c r="K12" s="6" t="str">
        <f t="shared" si="2"/>
        <v>Good</v>
      </c>
      <c r="L12" s="6" t="s">
        <v>37</v>
      </c>
    </row>
    <row r="13" spans="1:12">
      <c r="A13" s="6" t="s">
        <v>54</v>
      </c>
      <c r="B13" s="6" t="s">
        <v>55</v>
      </c>
      <c r="C13" s="6" t="s">
        <v>4</v>
      </c>
      <c r="D13" s="6" t="s">
        <v>9</v>
      </c>
      <c r="E13" s="7">
        <v>22</v>
      </c>
      <c r="F13" s="7">
        <v>24</v>
      </c>
      <c r="G13" s="7">
        <v>2</v>
      </c>
      <c r="H13" s="7">
        <v>1</v>
      </c>
      <c r="I13" s="7">
        <f t="shared" si="0"/>
        <v>0.916666666666667</v>
      </c>
      <c r="J13" s="7">
        <f t="shared" si="1"/>
        <v>95</v>
      </c>
      <c r="K13" s="6" t="str">
        <f t="shared" si="2"/>
        <v>Good</v>
      </c>
      <c r="L13" s="6" t="s">
        <v>37</v>
      </c>
    </row>
    <row r="14" spans="1:12">
      <c r="A14" s="6" t="s">
        <v>56</v>
      </c>
      <c r="B14" s="6" t="s">
        <v>57</v>
      </c>
      <c r="C14" s="6" t="s">
        <v>3</v>
      </c>
      <c r="D14" s="6" t="s">
        <v>10</v>
      </c>
      <c r="E14" s="7">
        <v>19</v>
      </c>
      <c r="F14" s="7">
        <v>24</v>
      </c>
      <c r="G14" s="7">
        <v>5</v>
      </c>
      <c r="H14" s="7">
        <v>4</v>
      </c>
      <c r="I14" s="7">
        <f t="shared" si="0"/>
        <v>0.791666666666667</v>
      </c>
      <c r="J14" s="7">
        <f t="shared" si="1"/>
        <v>80</v>
      </c>
      <c r="K14" s="6" t="str">
        <f t="shared" si="2"/>
        <v>Average</v>
      </c>
      <c r="L14" s="6" t="s">
        <v>37</v>
      </c>
    </row>
    <row r="15" spans="1:12">
      <c r="A15" s="6" t="s">
        <v>58</v>
      </c>
      <c r="B15" s="6" t="s">
        <v>59</v>
      </c>
      <c r="C15" s="6" t="s">
        <v>6</v>
      </c>
      <c r="D15" s="6" t="s">
        <v>10</v>
      </c>
      <c r="E15" s="7">
        <v>20</v>
      </c>
      <c r="F15" s="7">
        <v>24</v>
      </c>
      <c r="G15" s="7">
        <v>4</v>
      </c>
      <c r="H15" s="7">
        <v>3</v>
      </c>
      <c r="I15" s="7">
        <f t="shared" si="0"/>
        <v>0.833333333333333</v>
      </c>
      <c r="J15" s="7">
        <f t="shared" si="1"/>
        <v>85</v>
      </c>
      <c r="K15" s="6" t="str">
        <f t="shared" si="2"/>
        <v>Average</v>
      </c>
      <c r="L15" s="6" t="s">
        <v>37</v>
      </c>
    </row>
    <row r="16" spans="1:12">
      <c r="A16" s="6" t="s">
        <v>60</v>
      </c>
      <c r="B16" s="6" t="s">
        <v>22</v>
      </c>
      <c r="C16" s="6" t="s">
        <v>2</v>
      </c>
      <c r="D16" s="6" t="s">
        <v>10</v>
      </c>
      <c r="E16" s="7">
        <v>23</v>
      </c>
      <c r="F16" s="7">
        <v>24</v>
      </c>
      <c r="G16" s="7">
        <v>1</v>
      </c>
      <c r="H16" s="7">
        <v>0</v>
      </c>
      <c r="I16" s="7">
        <f t="shared" si="0"/>
        <v>0.958333333333333</v>
      </c>
      <c r="J16" s="7">
        <f t="shared" si="1"/>
        <v>100</v>
      </c>
      <c r="K16" s="6" t="str">
        <f t="shared" si="2"/>
        <v>Excellent</v>
      </c>
      <c r="L16" s="6" t="s">
        <v>37</v>
      </c>
    </row>
    <row r="17" spans="1:12">
      <c r="A17" s="6" t="s">
        <v>61</v>
      </c>
      <c r="B17" s="6" t="s">
        <v>62</v>
      </c>
      <c r="C17" s="6" t="s">
        <v>5</v>
      </c>
      <c r="D17" s="6" t="s">
        <v>10</v>
      </c>
      <c r="E17" s="7">
        <v>21</v>
      </c>
      <c r="F17" s="7">
        <v>24</v>
      </c>
      <c r="G17" s="7">
        <v>3</v>
      </c>
      <c r="H17" s="7">
        <v>2</v>
      </c>
      <c r="I17" s="7">
        <f t="shared" si="0"/>
        <v>0.875</v>
      </c>
      <c r="J17" s="7">
        <f t="shared" si="1"/>
        <v>90</v>
      </c>
      <c r="K17" s="6" t="str">
        <f t="shared" si="2"/>
        <v>Good</v>
      </c>
      <c r="L17" s="6" t="s">
        <v>37</v>
      </c>
    </row>
    <row r="18" spans="1:12">
      <c r="A18" s="6" t="s">
        <v>63</v>
      </c>
      <c r="B18" s="6" t="s">
        <v>21</v>
      </c>
      <c r="C18" s="6" t="s">
        <v>4</v>
      </c>
      <c r="D18" s="6" t="s">
        <v>9</v>
      </c>
      <c r="E18" s="7">
        <v>24</v>
      </c>
      <c r="F18" s="7">
        <v>24</v>
      </c>
      <c r="G18" s="7">
        <v>0</v>
      </c>
      <c r="H18" s="7">
        <v>0</v>
      </c>
      <c r="I18" s="7">
        <f t="shared" si="0"/>
        <v>1</v>
      </c>
      <c r="J18" s="7">
        <f t="shared" si="1"/>
        <v>100</v>
      </c>
      <c r="K18" s="6" t="str">
        <f t="shared" si="2"/>
        <v>Excellent</v>
      </c>
      <c r="L18" s="6" t="s">
        <v>37</v>
      </c>
    </row>
    <row r="19" spans="1:12">
      <c r="A19" s="6" t="s">
        <v>64</v>
      </c>
      <c r="B19" s="6" t="s">
        <v>65</v>
      </c>
      <c r="C19" s="6" t="s">
        <v>3</v>
      </c>
      <c r="D19" s="6" t="s">
        <v>10</v>
      </c>
      <c r="E19" s="7">
        <v>18</v>
      </c>
      <c r="F19" s="7">
        <v>24</v>
      </c>
      <c r="G19" s="7">
        <v>6</v>
      </c>
      <c r="H19" s="7">
        <v>5</v>
      </c>
      <c r="I19" s="7">
        <f t="shared" si="0"/>
        <v>0.75</v>
      </c>
      <c r="J19" s="7">
        <f t="shared" si="1"/>
        <v>75</v>
      </c>
      <c r="K19" s="6" t="str">
        <f t="shared" si="2"/>
        <v>Average</v>
      </c>
      <c r="L19" s="6" t="s">
        <v>37</v>
      </c>
    </row>
    <row r="20" spans="1:12">
      <c r="A20" s="6" t="s">
        <v>66</v>
      </c>
      <c r="B20" s="6" t="s">
        <v>67</v>
      </c>
      <c r="C20" s="6" t="s">
        <v>6</v>
      </c>
      <c r="D20" s="6" t="s">
        <v>10</v>
      </c>
      <c r="E20" s="7">
        <v>19</v>
      </c>
      <c r="F20" s="7">
        <v>24</v>
      </c>
      <c r="G20" s="7">
        <v>5</v>
      </c>
      <c r="H20" s="7">
        <v>4</v>
      </c>
      <c r="I20" s="7">
        <f t="shared" si="0"/>
        <v>0.791666666666667</v>
      </c>
      <c r="J20" s="7">
        <f t="shared" si="1"/>
        <v>80</v>
      </c>
      <c r="K20" s="6" t="str">
        <f t="shared" si="2"/>
        <v>Average</v>
      </c>
      <c r="L20" s="6" t="s">
        <v>37</v>
      </c>
    </row>
    <row r="21" spans="1:12">
      <c r="A21" s="6" t="s">
        <v>68</v>
      </c>
      <c r="B21" s="6" t="s">
        <v>69</v>
      </c>
      <c r="C21" s="6" t="s">
        <v>2</v>
      </c>
      <c r="D21" s="6" t="s">
        <v>10</v>
      </c>
      <c r="E21" s="7">
        <v>22</v>
      </c>
      <c r="F21" s="7">
        <v>24</v>
      </c>
      <c r="G21" s="7">
        <v>2</v>
      </c>
      <c r="H21" s="7">
        <v>1</v>
      </c>
      <c r="I21" s="7">
        <f t="shared" si="0"/>
        <v>0.916666666666667</v>
      </c>
      <c r="J21" s="7">
        <f t="shared" si="1"/>
        <v>95</v>
      </c>
      <c r="K21" s="6" t="str">
        <f t="shared" si="2"/>
        <v>Good</v>
      </c>
      <c r="L21" s="6" t="s">
        <v>37</v>
      </c>
    </row>
  </sheetData>
  <conditionalFormatting sqref="E$1:E$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$1:G$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$1:H$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$1:I$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$1:J$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{2067e861-206a-4efa-9e80-be0b4e4ab227}</x14:id>
        </ext>
      </extLst>
    </cfRule>
  </conditionalFormatting>
  <conditionalFormatting sqref="K$1:K$1048576">
    <cfRule type="cellIs" dxfId="33" priority="7" operator="equal">
      <formula>"Excellent"</formula>
    </cfRule>
    <cfRule type="cellIs" dxfId="34" priority="6" operator="equal">
      <formula>"Good"</formula>
    </cfRule>
    <cfRule type="cellIs" dxfId="35" priority="5" operator="equal">
      <formula>"Average"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67e861-206a-4efa-9e80-be0b4e4ab2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J$1:J$1048576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T9" sqref="T9"/>
    </sheetView>
  </sheetViews>
  <sheetFormatPr defaultColWidth="8.88888888888889" defaultRowHeight="14.4" outlineLevelRow="7" outlineLevelCol="1"/>
  <cols>
    <col min="1" max="1" width="28.1111111111111" customWidth="1"/>
    <col min="2" max="2" width="12.8888888888889"/>
  </cols>
  <sheetData>
    <row r="1" ht="18" spans="1:2">
      <c r="A1" s="1" t="s">
        <v>70</v>
      </c>
      <c r="B1" s="2">
        <v>0.896</v>
      </c>
    </row>
    <row r="2" ht="18" spans="1:2">
      <c r="A2" s="1" t="s">
        <v>71</v>
      </c>
      <c r="B2" s="3">
        <v>4</v>
      </c>
    </row>
    <row r="3" ht="18" spans="1:2">
      <c r="A3" s="1" t="s">
        <v>72</v>
      </c>
      <c r="B3" s="3">
        <v>8</v>
      </c>
    </row>
    <row r="4" ht="18" spans="1:2">
      <c r="A4" s="1" t="s">
        <v>73</v>
      </c>
      <c r="B4" s="3">
        <v>8</v>
      </c>
    </row>
    <row r="5" ht="18" spans="1:2">
      <c r="A5" s="1" t="s">
        <v>74</v>
      </c>
      <c r="B5" s="3">
        <v>0</v>
      </c>
    </row>
    <row r="6" ht="18" spans="1:2">
      <c r="A6" s="1" t="s">
        <v>75</v>
      </c>
      <c r="B6" s="3">
        <v>42</v>
      </c>
    </row>
    <row r="7" ht="18" spans="1:2">
      <c r="A7" s="1" t="s">
        <v>76</v>
      </c>
      <c r="B7" s="3">
        <v>62</v>
      </c>
    </row>
    <row r="8" ht="18" spans="1:2">
      <c r="A8" s="1" t="s">
        <v>77</v>
      </c>
      <c r="B8" s="4">
        <v>89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HR_Data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CD</cp:lastModifiedBy>
  <dcterms:created xsi:type="dcterms:W3CDTF">2026-05-20T09:13:37Z</dcterms:created>
  <dcterms:modified xsi:type="dcterms:W3CDTF">2026-05-20T11:53:57Z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8F77C8ED1D934A18A2AE573B481B8DEE_11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